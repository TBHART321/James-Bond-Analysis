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rn\OneDrive\Desktop\Data Analyst Portfolio\007 Project\Original Dataset\"/>
    </mc:Choice>
  </mc:AlternateContent>
  <xr:revisionPtr revIDLastSave="0" documentId="13_ncr:9_{83D347F0-1E50-4F8C-8F37-849B08D1D96C}" xr6:coauthVersionLast="47" xr6:coauthVersionMax="47" xr10:uidLastSave="{00000000-0000-0000-0000-000000000000}"/>
  <bookViews>
    <workbookView xWindow="-120" yWindow="-120" windowWidth="38640" windowHeight="21120" xr2:uid="{56EC5314-2065-45C8-B7CB-F52629AB2A8C}"/>
  </bookViews>
  <sheets>
    <sheet name="Bond Summary" sheetId="3" r:id="rId1"/>
    <sheet name="jamesbond" sheetId="1" r:id="rId2"/>
  </sheets>
  <definedNames>
    <definedName name="_xlnm._FilterDatabase" localSheetId="0" hidden="1">'Bond Summary'!$A$1:$H$7</definedName>
    <definedName name="_xlnm._FilterDatabase" localSheetId="1" hidden="1">jamesbond!$A$1:$U$26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G2" i="3"/>
  <c r="G3" i="3"/>
  <c r="G4" i="3"/>
  <c r="G5" i="3"/>
  <c r="G6" i="3"/>
  <c r="G7" i="3"/>
  <c r="D5" i="3"/>
  <c r="B2" i="3"/>
  <c r="B3" i="3"/>
  <c r="B4" i="3"/>
  <c r="B5" i="3"/>
  <c r="B6" i="3"/>
  <c r="B7" i="3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P2" i="1"/>
  <c r="P3" i="1"/>
  <c r="R3" i="1" s="1"/>
  <c r="P4" i="1"/>
  <c r="P5" i="1"/>
  <c r="P6" i="1"/>
  <c r="P7" i="1"/>
  <c r="P8" i="1"/>
  <c r="P9" i="1"/>
  <c r="P10" i="1"/>
  <c r="R10" i="1" s="1"/>
  <c r="P11" i="1"/>
  <c r="P12" i="1"/>
  <c r="P13" i="1"/>
  <c r="P14" i="1"/>
  <c r="P15" i="1"/>
  <c r="P16" i="1"/>
  <c r="C5" i="3" s="1"/>
  <c r="P17" i="1"/>
  <c r="P18" i="1"/>
  <c r="R18" i="1" s="1"/>
  <c r="E6" i="3" s="1"/>
  <c r="P19" i="1"/>
  <c r="R19" i="1" s="1"/>
  <c r="P20" i="1"/>
  <c r="R20" i="1" s="1"/>
  <c r="P21" i="1"/>
  <c r="R21" i="1" s="1"/>
  <c r="P22" i="1"/>
  <c r="R22" i="1" s="1"/>
  <c r="P23" i="1"/>
  <c r="R23" i="1" s="1"/>
  <c r="P24" i="1"/>
  <c r="P25" i="1"/>
  <c r="P2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C7" i="3" l="1"/>
  <c r="C6" i="3"/>
  <c r="R8" i="1"/>
  <c r="F6" i="3"/>
  <c r="R7" i="1"/>
  <c r="R26" i="1"/>
  <c r="R6" i="1"/>
  <c r="R25" i="1"/>
  <c r="R5" i="1"/>
  <c r="R24" i="1"/>
  <c r="R4" i="1"/>
  <c r="R2" i="1"/>
  <c r="F2" i="3" s="1"/>
  <c r="R17" i="1"/>
  <c r="R16" i="1"/>
  <c r="F7" i="3"/>
  <c r="E7" i="3"/>
  <c r="D3" i="3"/>
  <c r="R12" i="1"/>
  <c r="D2" i="3"/>
  <c r="R11" i="1"/>
  <c r="R9" i="1"/>
  <c r="C4" i="3"/>
  <c r="C2" i="3"/>
  <c r="D7" i="3"/>
  <c r="D6" i="3"/>
  <c r="R15" i="1"/>
  <c r="C3" i="3"/>
  <c r="D4" i="3"/>
  <c r="R14" i="1"/>
  <c r="R13" i="1"/>
  <c r="E5" i="3" l="1"/>
  <c r="F5" i="3"/>
  <c r="E3" i="3"/>
  <c r="F3" i="3"/>
  <c r="E2" i="3"/>
  <c r="E4" i="3"/>
  <c r="F4" i="3"/>
</calcChain>
</file>

<file path=xl/sharedStrings.xml><?xml version="1.0" encoding="utf-8"?>
<sst xmlns="http://schemas.openxmlformats.org/spreadsheetml/2006/main" count="260" uniqueCount="179">
  <si>
    <t>Year</t>
  </si>
  <si>
    <t>Movie</t>
  </si>
  <si>
    <t>Bond</t>
  </si>
  <si>
    <t>Director</t>
  </si>
  <si>
    <t>Composer</t>
  </si>
  <si>
    <t>Writer</t>
  </si>
  <si>
    <t>Cinematographer</t>
  </si>
  <si>
    <t>Depicted_Film_Loc</t>
  </si>
  <si>
    <t>Shooting_Loc</t>
  </si>
  <si>
    <t>Bond_Car_MFG</t>
  </si>
  <si>
    <t>US_Gross</t>
  </si>
  <si>
    <t>World_Gross</t>
  </si>
  <si>
    <t>Budget</t>
  </si>
  <si>
    <t>Film_Length</t>
  </si>
  <si>
    <t>Avg_User_IMDB</t>
  </si>
  <si>
    <t>Avg_User_Rtn_Tom</t>
  </si>
  <si>
    <t>Dr. No</t>
  </si>
  <si>
    <t>Sean Connery</t>
  </si>
  <si>
    <t>Terence Young</t>
  </si>
  <si>
    <t>Monty Norman</t>
  </si>
  <si>
    <t>Richard Maibaum, Johanna Harwood &amp; Berkely Mather</t>
  </si>
  <si>
    <t>Ted Moore</t>
  </si>
  <si>
    <t>Great Britain, Jamaic</t>
  </si>
  <si>
    <t>England, Jamaica</t>
  </si>
  <si>
    <t>Sunbeam</t>
  </si>
  <si>
    <t>From Russia with Love</t>
  </si>
  <si>
    <t>John Barry</t>
  </si>
  <si>
    <t>Richard Maibaum &amp; Johanna Harwood</t>
  </si>
  <si>
    <t>United Kingdom, Great Britain, Turkey, Croatia, Serbia, Italy</t>
  </si>
  <si>
    <t>England, Scotland, Italy, Switzerland, Turkey</t>
  </si>
  <si>
    <t>Bently</t>
  </si>
  <si>
    <t>Goldfinger</t>
  </si>
  <si>
    <t>Guy Hamilton</t>
  </si>
  <si>
    <t>Richard Maibaum &amp; Paul Dehn</t>
  </si>
  <si>
    <t>United States, Great Britain, Switzerland</t>
  </si>
  <si>
    <t>England, Switzerland, United States</t>
  </si>
  <si>
    <t>Aston Martin</t>
  </si>
  <si>
    <t>Thunderball</t>
  </si>
  <si>
    <t>Richard Maibaum &amp; John Hopkins</t>
  </si>
  <si>
    <t>France, Great Britain, Bahamas, United States</t>
  </si>
  <si>
    <t>England, France, Bahamas, United States</t>
  </si>
  <si>
    <t>You Only Live Twice</t>
  </si>
  <si>
    <t>Lewis Gilbert</t>
  </si>
  <si>
    <t>Roald Dahl</t>
  </si>
  <si>
    <t>Freddie Young</t>
  </si>
  <si>
    <t>United States, Russia, Kazakhstan, Norway, Japan</t>
  </si>
  <si>
    <t>Japan, Spain, Norway</t>
  </si>
  <si>
    <t>Toyota</t>
  </si>
  <si>
    <t>On Her Majesty's Secret Service</t>
  </si>
  <si>
    <t>George Lazenby</t>
  </si>
  <si>
    <t>Peter R. Hunt</t>
  </si>
  <si>
    <t>Richard Maibaum</t>
  </si>
  <si>
    <t>Michael Reed</t>
  </si>
  <si>
    <t>Portugal, Great Britain, Switzerland</t>
  </si>
  <si>
    <t>England, Switzerland, Portugal</t>
  </si>
  <si>
    <t>Mercury</t>
  </si>
  <si>
    <t>Diamonds Are Forever</t>
  </si>
  <si>
    <t>Richard Maibaum &amp; Tom Mankiewicz</t>
  </si>
  <si>
    <t>Japan, Egypt, France, South Africa, Great Britain, Netherlands, United States, Mexico</t>
  </si>
  <si>
    <t>England, France, Germany, Netherlands, United States</t>
  </si>
  <si>
    <t>Ford</t>
  </si>
  <si>
    <t>Live and Let Die</t>
  </si>
  <si>
    <t>Roger Moore</t>
  </si>
  <si>
    <t>George Martin</t>
  </si>
  <si>
    <t>Tom Mankiewicz</t>
  </si>
  <si>
    <t>United States, Great Britain, Jamaica</t>
  </si>
  <si>
    <t>England, United States, Jamaica</t>
  </si>
  <si>
    <t>AMC</t>
  </si>
  <si>
    <t>The Man with the Golden Gun</t>
  </si>
  <si>
    <t>Great Britain, Lebanon, Portugal, Thailand</t>
  </si>
  <si>
    <t>England, Thailand, Hong Kong, Portugal</t>
  </si>
  <si>
    <t>The Spy Who Loved Me</t>
  </si>
  <si>
    <t>Marvin Hamlisch</t>
  </si>
  <si>
    <t>Christopher Wood &amp; Richard Maibaum</t>
  </si>
  <si>
    <t>Claude Renoir</t>
  </si>
  <si>
    <t>Austria, Russia, Great Britain, Egypt, Italy</t>
  </si>
  <si>
    <t>England, Switzerland, Canada, Scotland, Egypt, Italy, Malta, Bahamas, Japan</t>
  </si>
  <si>
    <t>Lotus</t>
  </si>
  <si>
    <t>Moonraker</t>
  </si>
  <si>
    <t>Christopher Wood</t>
  </si>
  <si>
    <t>Jean Tournier</t>
  </si>
  <si>
    <t>Great Britain, United States, Italy, Brazil, Russia</t>
  </si>
  <si>
    <t>England, France, Italy, United States, Brazil, Guatemala</t>
  </si>
  <si>
    <t>For Your Eyes Only</t>
  </si>
  <si>
    <t>John Glen</t>
  </si>
  <si>
    <t>Bill Conti</t>
  </si>
  <si>
    <t>Michael G. Wilson &amp; Richard Maibaum</t>
  </si>
  <si>
    <t>Alan Hume</t>
  </si>
  <si>
    <t>Great Britain, Russia, Spain, Italy, Greece, Albania</t>
  </si>
  <si>
    <t>England, Italy, Malta, Greece</t>
  </si>
  <si>
    <t>CitroÃ«n</t>
  </si>
  <si>
    <t>Octopussy</t>
  </si>
  <si>
    <t>George MacDonald Fraser, Michael G. Wilson &amp; Richard Maibaum</t>
  </si>
  <si>
    <t>Great Britain, India, Russia, Germany</t>
  </si>
  <si>
    <t>England, West Berlin, India</t>
  </si>
  <si>
    <t>Bajaj</t>
  </si>
  <si>
    <t>A View to a Kill</t>
  </si>
  <si>
    <t>Russia, Great Britain, France, United States</t>
  </si>
  <si>
    <t>England, Switzerland, Iceland, France, United States</t>
  </si>
  <si>
    <t>Rolls Royce</t>
  </si>
  <si>
    <t>The Living Daylights</t>
  </si>
  <si>
    <t>Timothy Dalton</t>
  </si>
  <si>
    <t>Alec Mills</t>
  </si>
  <si>
    <t>Gibraltar, Great Britain, Slovakia, Austria, Morocco, Afghanistan, Pakistan</t>
  </si>
  <si>
    <t>England, Germany, Austria, Italy, Morocco</t>
  </si>
  <si>
    <t>License to Kill</t>
  </si>
  <si>
    <t>Michael Kamen</t>
  </si>
  <si>
    <t>United States, Bahamas, Great Britain</t>
  </si>
  <si>
    <t>Mexico, United States</t>
  </si>
  <si>
    <t>GoldenEye</t>
  </si>
  <si>
    <t>Pierce Brosnan</t>
  </si>
  <si>
    <t>Martin Campbell</t>
  </si>
  <si>
    <t>Ã‰ric Serra</t>
  </si>
  <si>
    <t>Michael France, Jeffrey Caine, Kevin Wade &amp; Bruce Feirstein</t>
  </si>
  <si>
    <t>Russia, Monaco, France, England, United States, Cuba</t>
  </si>
  <si>
    <t>England, France, Monaco, Switzerland, Russia, Puerto Rico</t>
  </si>
  <si>
    <t>BMW</t>
  </si>
  <si>
    <t>Tomorrow Never Dies</t>
  </si>
  <si>
    <t>Roger Spottiswoode</t>
  </si>
  <si>
    <t>David Arnold</t>
  </si>
  <si>
    <t>Bruce Feirstein</t>
  </si>
  <si>
    <t>Robert Elswit</t>
  </si>
  <si>
    <t>Russia, England, Germany, Vietnam</t>
  </si>
  <si>
    <t>England, France, Germany, Thailand</t>
  </si>
  <si>
    <t>The World Is Not Enough</t>
  </si>
  <si>
    <t>Michael Apted</t>
  </si>
  <si>
    <t>Neal Purvis, Robert Wade &amp; Bruce Feirstein</t>
  </si>
  <si>
    <t>Adrian Biddle</t>
  </si>
  <si>
    <t>Spain, England, Scotland, Kazakhstan, Azerbaijan, Turkey, North Korea, South Korea</t>
  </si>
  <si>
    <t>England, Scotland, France, Spain, Turkey, Azerbaijan</t>
  </si>
  <si>
    <t>Die Another Day</t>
  </si>
  <si>
    <t>Lee Tamahori</t>
  </si>
  <si>
    <t>Neal Purvis and Robert Wade</t>
  </si>
  <si>
    <t>David Tattersall</t>
  </si>
  <si>
    <t>South Korea, Hong Kong, Cube, England, Iceland</t>
  </si>
  <si>
    <t>England, Spain, Iceland, Norway, United States</t>
  </si>
  <si>
    <t>Casino Royale</t>
  </si>
  <si>
    <t>Daniel Craig</t>
  </si>
  <si>
    <t>Neal Purvis, Robert Wade &amp; Paul Haggis</t>
  </si>
  <si>
    <t>Czech Republic, Pakistan, Uganda, Madagascar, Bahamas, England, United States, Monenegro, Italy</t>
  </si>
  <si>
    <t>England, Italy, Czech republic, Bahamas, United States</t>
  </si>
  <si>
    <t>Quantum of Solace</t>
  </si>
  <si>
    <t>Marc Forster</t>
  </si>
  <si>
    <t>Paul Haggis and Neal Purvis and Robert Wade</t>
  </si>
  <si>
    <t>Roberto Schaefer</t>
  </si>
  <si>
    <t>Italy, England, Haiti, Austria, Bolivia, Russia</t>
  </si>
  <si>
    <t>England, Italy, Spain, Panama, Mexico, Chile, Austria</t>
  </si>
  <si>
    <t>Skyfall</t>
  </si>
  <si>
    <t>Sam Mendes</t>
  </si>
  <si>
    <t>Thomas Newman</t>
  </si>
  <si>
    <t>Neal Purvis, Robert Wade &amp; John Logan</t>
  </si>
  <si>
    <t>Roger Deakins</t>
  </si>
  <si>
    <t>Turkey, England, China, Macau, Japan, Scotland</t>
  </si>
  <si>
    <t>England, Scotland, Turkey, China</t>
  </si>
  <si>
    <t>Spectre</t>
  </si>
  <si>
    <t>John Logan &amp; Neal Purvis, Robert Wade &amp; Jez Butterworth</t>
  </si>
  <si>
    <t>Hoyte van Hoytema</t>
  </si>
  <si>
    <t>Mexico, England, Italy, Austria, Morocco, Vatican City</t>
  </si>
  <si>
    <t>England, Austria, Italy, Vatican City, Mexico, Morocco</t>
  </si>
  <si>
    <t>No Time To Die</t>
  </si>
  <si>
    <t>Cary Joji Fukunaga</t>
  </si>
  <si>
    <t>Hans Zimmer</t>
  </si>
  <si>
    <t>Cary Joji Fukunaga, Neal Purvis, Robert Wade, and Phoebe Waller-Bridge</t>
  </si>
  <si>
    <t>Linus Sandgren</t>
  </si>
  <si>
    <t>Italy, Norway, Scotland, Jamaica, London, Faroe Islands, Cuba</t>
  </si>
  <si>
    <t>Italy, Jamaica, Norway, the Faroe Islands (Denmark), and the United Kingdom</t>
  </si>
  <si>
    <t>Phil Meheux</t>
  </si>
  <si>
    <t>US_Gross_ADJ</t>
  </si>
  <si>
    <t>World_Gross_ADJ</t>
  </si>
  <si>
    <t>Budget_ADJ</t>
  </si>
  <si>
    <t>Cumulative_Inflation</t>
  </si>
  <si>
    <t>ROI_ADJ</t>
  </si>
  <si>
    <t>Number_Of_Films</t>
  </si>
  <si>
    <t>World_Gross_ADJ_SUM</t>
  </si>
  <si>
    <t>World_Gross_ADJ_AVG</t>
  </si>
  <si>
    <t>ROI_ADJ_AVG</t>
  </si>
  <si>
    <t>ROI_ADJ_SUM</t>
  </si>
  <si>
    <t>Avg_User_IMDB_AVG</t>
  </si>
  <si>
    <t>Avg_User_Rtn_Tom_AVG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</si>
</sst>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1" fontId="0" fillId="0" borderId="0" xfId="0" applyNumberFormat="1"/>
    <xf numFmtId="169" fontId="0" fillId="0" borderId="0" xfId="0" applyNumberFormat="1"/>
    <xf numFmtId="1" fontId="0" fillId="0" borderId="0" xfId="0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169" formatCode="0.0"/>
    </dxf>
    <dxf>
      <numFmt numFmtId="169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69" formatCode="0.0"/>
    </dxf>
    <dxf>
      <numFmt numFmtId="169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2FC3F6-54B4-4445-B1FF-803A02CAEDA1}" name="Table13" displayName="Table13" ref="A1:H7" totalsRowShown="0">
  <autoFilter ref="A1:H7" xr:uid="{E36FD420-BFDD-4485-A4D0-F1F15E4F4FAB}"/>
  <tableColumns count="8">
    <tableColumn id="3" xr3:uid="{950884C5-59F8-48B9-9C2F-88EC5BAA7B90}" name="Bond"/>
    <tableColumn id="33" xr3:uid="{8E4E2F58-1DF4-48AF-9A7E-9175B659A16E}" name="Number_Of_Films" dataDxfId="6">
      <calculatedColumnFormula>COUNTIF(Table1[Bond],Table13[[#This Row],[Bond]])</calculatedColumnFormula>
    </tableColumn>
    <tableColumn id="29" xr3:uid="{1485FF7D-162A-476A-B472-7398B360F218}" name="World_Gross_ADJ_SUM" dataDxfId="5">
      <calculatedColumnFormula>SUMIF(Table1[Bond],Table13[[#This Row],[Bond]],Table1[World_Gross_ADJ])</calculatedColumnFormula>
    </tableColumn>
    <tableColumn id="34" xr3:uid="{86863CEF-C143-4B3D-B642-5D85DE4563BE}" name="World_Gross_ADJ_AVG" dataDxfId="4">
      <calculatedColumnFormula>AVERAGEIF(Table1[Bond],Table13[[#This Row],[Bond]],Table1[World_Gross_ADJ])</calculatedColumnFormula>
    </tableColumn>
    <tableColumn id="32" xr3:uid="{A1440588-2D98-4E39-8C27-EB2AC3E9F3B5}" name="ROI_ADJ_SUM" dataDxfId="3">
      <calculatedColumnFormula>SUMIF(Table1[Bond],Table13[[#This Row],[Bond]],Table1[ROI_ADJ])</calculatedColumnFormula>
    </tableColumn>
    <tableColumn id="35" xr3:uid="{90601394-756D-416A-B603-6C4B267E29C8}" name="ROI_ADJ_AVG" dataDxfId="2">
      <calculatedColumnFormula>AVERAGEIF(Table1[Bond],Table13[[#This Row],[Bond]],Table1[ROI_ADJ])</calculatedColumnFormula>
    </tableColumn>
    <tableColumn id="19" xr3:uid="{1F5B26AF-832D-4AD4-AB8A-BB7742E55313}" name="Avg_User_IMDB_AVG" dataDxfId="1">
      <calculatedColumnFormula>AVERAGEIF(Table1[Bond],Table13[[#This Row],[Bond]],Table1[Avg_User_IMDB])</calculatedColumnFormula>
    </tableColumn>
    <tableColumn id="20" xr3:uid="{FB371C75-2983-44BB-9596-370A9E016D26}" name="Avg_User_Rtn_Tom_AVG" dataDxfId="0">
      <calculatedColumnFormula>AVERAGEIF(Table1[Bond],Table13[[#This Row],[Bond]],Table1[Avg_User_Rtn_Tom])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291A75-8975-4125-91B2-D43C4C079365}" name="Table1" displayName="Table1" ref="A1:U26" totalsRowShown="0">
  <autoFilter ref="A1:U26" xr:uid="{E36FD420-BFDD-4485-A4D0-F1F15E4F4FAB}"/>
  <tableColumns count="21">
    <tableColumn id="1" xr3:uid="{95717A5E-7EAE-4120-86BF-90B5C114A399}" name="Year"/>
    <tableColumn id="2" xr3:uid="{4E38AA90-15D8-4900-8A82-633CBA6299C0}" name="Movie"/>
    <tableColumn id="3" xr3:uid="{94FD71F1-E374-4A91-9C9B-C484A00D13A9}" name="Bond"/>
    <tableColumn id="4" xr3:uid="{F69A5E12-6AC1-4F05-A32A-4B0946E34295}" name="Director"/>
    <tableColumn id="5" xr3:uid="{E5B8E6D8-03BC-4815-ACE6-DFD891C3F43E}" name="Composer"/>
    <tableColumn id="6" xr3:uid="{C3613672-C216-4307-873F-0E9255B410CB}" name="Writer"/>
    <tableColumn id="7" xr3:uid="{EC432015-BDCE-4EE2-8ABC-E83612425F05}" name="Cinematographer"/>
    <tableColumn id="8" xr3:uid="{0AB166D3-F88E-4BDC-B890-202BAA6190D2}" name="Depicted_Film_Loc"/>
    <tableColumn id="9" xr3:uid="{D47F487D-821B-49E1-BEDD-39236FC2CAE4}" name="Shooting_Loc"/>
    <tableColumn id="10" xr3:uid="{52B3B247-8DD1-4435-B12C-A5D5FD34414C}" name="Bond_Car_MFG"/>
    <tableColumn id="12" xr3:uid="{0BB1139F-671C-4CF3-BC0A-2E8040F5EF51}" name="US_Gross" dataDxfId="17"/>
    <tableColumn id="14" xr3:uid="{5766B762-AF0F-4DC0-8796-FB1DB837EDCF}" name="World_Gross" dataDxfId="16"/>
    <tableColumn id="16" xr3:uid="{99629A64-526E-4B6C-9748-D141D81F4D2D}" name="Budget" dataDxfId="15"/>
    <tableColumn id="31" xr3:uid="{34DA1564-BB1A-4E56-8CB1-0AAF0F88B050}" name="Cumulative_Inflation" dataDxfId="14" dataCellStyle="Percent"/>
    <tableColumn id="28" xr3:uid="{EC85BFBC-730F-42D7-B55F-5BF4BD3A8FBB}" name="US_Gross_ADJ" dataDxfId="13">
      <calculatedColumnFormula>Table1[[#This Row],[US_Gross]]+(Table1[[#This Row],[US_Gross]]*Table1[[#This Row],[Cumulative_Inflation]])</calculatedColumnFormula>
    </tableColumn>
    <tableColumn id="29" xr3:uid="{982EB0C2-A5CD-4BCB-9FC6-B1573F8A5112}" name="World_Gross_ADJ" dataDxfId="12">
      <calculatedColumnFormula>Table1[[#This Row],[World_Gross]]+(Table1[[#This Row],[World_Gross]]*Table1[[#This Row],[Cumulative_Inflation]])</calculatedColumnFormula>
    </tableColumn>
    <tableColumn id="30" xr3:uid="{32271C49-626E-4569-A60E-546504BF2787}" name="Budget_ADJ" dataDxfId="11">
      <calculatedColumnFormula>Table1[[#This Row],[Budget]]+(Table1[[#This Row],[Budget]]*Table1[[#This Row],[Cumulative_Inflation]])</calculatedColumnFormula>
    </tableColumn>
    <tableColumn id="32" xr3:uid="{ADF2A241-DBC7-4791-B661-64077F1ACEF6}" name="ROI_ADJ" dataDxfId="10">
      <calculatedColumnFormula>Table1[[#This Row],[World_Gross_ADJ]]-Table1[[#This Row],[Budget_ADJ]]</calculatedColumnFormula>
    </tableColumn>
    <tableColumn id="18" xr3:uid="{525AB3C7-4088-4482-AED1-F8DA16BA4F58}" name="Film_Length" dataDxfId="9"/>
    <tableColumn id="19" xr3:uid="{2EBAEC58-FCDE-4B7E-94F4-F4429B04F036}" name="Avg_User_IMDB" dataDxfId="8"/>
    <tableColumn id="20" xr3:uid="{B8D3A9AC-EAD6-4FFB-A4E7-0D08196E8AFE}" name="Avg_User_Rtn_Tom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B703-7922-4179-B66B-5C62F5B14C8D}">
  <dimension ref="A1:O18"/>
  <sheetViews>
    <sheetView tabSelected="1" workbookViewId="0">
      <selection activeCell="I1" sqref="I1"/>
    </sheetView>
  </sheetViews>
  <sheetFormatPr defaultRowHeight="15" x14ac:dyDescent="0.25"/>
  <cols>
    <col min="1" max="1" width="14.7109375" bestFit="1" customWidth="1"/>
    <col min="2" max="2" width="19.5703125" bestFit="1" customWidth="1"/>
    <col min="3" max="3" width="24.28515625" style="2" bestFit="1" customWidth="1"/>
    <col min="4" max="4" width="24" style="2" bestFit="1" customWidth="1"/>
    <col min="5" max="6" width="20.42578125" style="2" customWidth="1"/>
    <col min="7" max="7" width="21.85546875" style="3" bestFit="1" customWidth="1"/>
    <col min="8" max="8" width="25.140625" style="3" bestFit="1" customWidth="1"/>
  </cols>
  <sheetData>
    <row r="1" spans="1:8" x14ac:dyDescent="0.25">
      <c r="A1" t="s">
        <v>2</v>
      </c>
      <c r="B1" t="s">
        <v>172</v>
      </c>
      <c r="C1" s="2" t="s">
        <v>173</v>
      </c>
      <c r="D1" s="2" t="s">
        <v>174</v>
      </c>
      <c r="E1" s="2" t="s">
        <v>176</v>
      </c>
      <c r="F1" s="2" t="s">
        <v>175</v>
      </c>
      <c r="G1" s="3" t="s">
        <v>177</v>
      </c>
      <c r="H1" s="3" t="s">
        <v>178</v>
      </c>
    </row>
    <row r="2" spans="1:8" x14ac:dyDescent="0.25">
      <c r="A2" t="s">
        <v>17</v>
      </c>
      <c r="B2">
        <f>COUNTIF(Table1[Bond],Table13[[#This Row],[Bond]])</f>
        <v>6</v>
      </c>
      <c r="C2" s="2">
        <f>SUMIF(Table1[Bond],Table13[[#This Row],[Bond]],Table1[World_Gross_ADJ])</f>
        <v>6416281048.3519993</v>
      </c>
      <c r="D2" s="2">
        <f>AVERAGEIF(Table1[Bond],Table13[[#This Row],[Bond]],Table1[World_Gross_ADJ])</f>
        <v>1069380174.7253332</v>
      </c>
      <c r="E2" s="2">
        <f>SUMIF(Table1[Bond],Table13[[#This Row],[Bond]],Table1[ROI_ADJ])</f>
        <v>6102209448.3519993</v>
      </c>
      <c r="F2" s="2">
        <f>AVERAGEIF(Table1[Bond],Table13[[#This Row],[Bond]],Table1[ROI_ADJ])</f>
        <v>1017034908.0586666</v>
      </c>
      <c r="G2" s="3">
        <f>AVERAGEIF(Table1[Bond],Table13[[#This Row],[Bond]],Table1[Avg_User_IMDB])</f>
        <v>7.2</v>
      </c>
      <c r="H2" s="3">
        <f>AVERAGEIF(Table1[Bond],Table13[[#This Row],[Bond]],Table1[Avg_User_Rtn_Tom])</f>
        <v>7.25</v>
      </c>
    </row>
    <row r="3" spans="1:8" x14ac:dyDescent="0.25">
      <c r="A3" t="s">
        <v>49</v>
      </c>
      <c r="B3">
        <f>COUNTIF(Table1[Bond],Table13[[#This Row],[Bond]])</f>
        <v>1</v>
      </c>
      <c r="C3" s="2">
        <f>SUMIF(Table1[Bond],Table13[[#This Row],[Bond]],Table1[World_Gross_ADJ])</f>
        <v>744076200</v>
      </c>
      <c r="D3" s="2">
        <f>AVERAGEIF(Table1[Bond],Table13[[#This Row],[Bond]],Table1[World_Gross_ADJ])</f>
        <v>744076200</v>
      </c>
      <c r="E3" s="2">
        <f>SUMIF(Table1[Bond],Table13[[#This Row],[Bond]],Table1[ROI_ADJ])</f>
        <v>671483400</v>
      </c>
      <c r="F3" s="2">
        <f>AVERAGEIF(Table1[Bond],Table13[[#This Row],[Bond]],Table1[ROI_ADJ])</f>
        <v>671483400</v>
      </c>
      <c r="G3" s="3">
        <f>AVERAGEIF(Table1[Bond],Table13[[#This Row],[Bond]],Table1[Avg_User_IMDB])</f>
        <v>6.8</v>
      </c>
      <c r="H3" s="3">
        <f>AVERAGEIF(Table1[Bond],Table13[[#This Row],[Bond]],Table1[Avg_User_Rtn_Tom])</f>
        <v>6.7</v>
      </c>
    </row>
    <row r="4" spans="1:8" x14ac:dyDescent="0.25">
      <c r="A4" t="s">
        <v>62</v>
      </c>
      <c r="B4">
        <f>COUNTIF(Table1[Bond],Table13[[#This Row],[Bond]])</f>
        <v>7</v>
      </c>
      <c r="C4" s="2">
        <f>SUMIF(Table1[Bond],Table13[[#This Row],[Bond]],Table1[World_Gross_ADJ])</f>
        <v>5671594536.1999998</v>
      </c>
      <c r="D4" s="2">
        <f>AVERAGEIF(Table1[Bond],Table13[[#This Row],[Bond]],Table1[World_Gross_ADJ])</f>
        <v>810227790.88571429</v>
      </c>
      <c r="E4" s="2">
        <f>SUMIF(Table1[Bond],Table13[[#This Row],[Bond]],Table1[ROI_ADJ])</f>
        <v>5065224036.1999998</v>
      </c>
      <c r="F4" s="2">
        <f>AVERAGEIF(Table1[Bond],Table13[[#This Row],[Bond]],Table1[ROI_ADJ])</f>
        <v>723603433.7428571</v>
      </c>
      <c r="G4" s="3">
        <f>AVERAGEIF(Table1[Bond],Table13[[#This Row],[Bond]],Table1[Avg_User_IMDB])</f>
        <v>6.6142857142857148</v>
      </c>
      <c r="H4" s="3">
        <f>AVERAGEIF(Table1[Bond],Table13[[#This Row],[Bond]],Table1[Avg_User_Rtn_Tom])</f>
        <v>5.6857142857142859</v>
      </c>
    </row>
    <row r="5" spans="1:8" x14ac:dyDescent="0.25">
      <c r="A5" t="s">
        <v>101</v>
      </c>
      <c r="B5">
        <f>COUNTIF(Table1[Bond],Table13[[#This Row],[Bond]])</f>
        <v>2</v>
      </c>
      <c r="C5" s="2">
        <f>SUMIF(Table1[Bond],Table13[[#This Row],[Bond]],Table1[World_Gross_ADJ])</f>
        <v>979904935.48399997</v>
      </c>
      <c r="D5" s="2">
        <f>AVERAGEIF(Table1[Bond],Table13[[#This Row],[Bond]],Table1[World_Gross_ADJ])</f>
        <v>489952467.74199998</v>
      </c>
      <c r="E5" s="2">
        <f>SUMIF(Table1[Bond],Table13[[#This Row],[Bond]],Table1[ROI_ADJ])</f>
        <v>749849735.48399997</v>
      </c>
      <c r="F5" s="2">
        <f>AVERAGEIF(Table1[Bond],Table13[[#This Row],[Bond]],Table1[ROI_ADJ])</f>
        <v>374924867.74199998</v>
      </c>
      <c r="G5" s="3">
        <f>AVERAGEIF(Table1[Bond],Table13[[#This Row],[Bond]],Table1[Avg_User_IMDB])</f>
        <v>6.6</v>
      </c>
      <c r="H5" s="3">
        <f>AVERAGEIF(Table1[Bond],Table13[[#This Row],[Bond]],Table1[Avg_User_Rtn_Tom])</f>
        <v>6.15</v>
      </c>
    </row>
    <row r="6" spans="1:8" x14ac:dyDescent="0.25">
      <c r="A6" t="s">
        <v>110</v>
      </c>
      <c r="B6">
        <f>COUNTIF(Table1[Bond],Table13[[#This Row],[Bond]])</f>
        <v>4</v>
      </c>
      <c r="C6" s="2">
        <f>SUMIF(Table1[Bond],Table13[[#This Row],[Bond]],Table1[World_Gross_ADJ])</f>
        <v>3005868353.1343002</v>
      </c>
      <c r="D6" s="2">
        <f>AVERAGEIF(Table1[Bond],Table13[[#This Row],[Bond]],Table1[World_Gross_ADJ])</f>
        <v>751467088.28357506</v>
      </c>
      <c r="E6" s="2">
        <f>SUMIF(Table1[Bond],Table13[[#This Row],[Bond]],Table1[ROI_ADJ])</f>
        <v>2113821653.1342998</v>
      </c>
      <c r="F6" s="2">
        <f>AVERAGEIF(Table1[Bond],Table13[[#This Row],[Bond]],Table1[ROI_ADJ])</f>
        <v>528455413.28357494</v>
      </c>
      <c r="G6" s="3">
        <f>AVERAGEIF(Table1[Bond],Table13[[#This Row],[Bond]],Table1[Avg_User_IMDB])</f>
        <v>6.4750000000000005</v>
      </c>
      <c r="H6" s="3">
        <f>AVERAGEIF(Table1[Bond],Table13[[#This Row],[Bond]],Table1[Avg_User_Rtn_Tom])</f>
        <v>6.1750000000000007</v>
      </c>
    </row>
    <row r="7" spans="1:8" x14ac:dyDescent="0.25">
      <c r="A7" t="s">
        <v>137</v>
      </c>
      <c r="B7">
        <f>COUNTIF(Table1[Bond],Table13[[#This Row],[Bond]])</f>
        <v>5</v>
      </c>
      <c r="C7" s="2">
        <f>SUMIF(Table1[Bond],Table13[[#This Row],[Bond]],Table1[World_Gross_ADJ])</f>
        <v>5695633979.3224001</v>
      </c>
      <c r="D7" s="2">
        <f>AVERAGEIF(Table1[Bond],Table13[[#This Row],[Bond]],Table1[World_Gross_ADJ])</f>
        <v>1139126795.86448</v>
      </c>
      <c r="E7" s="2">
        <f>SUMIF(Table1[Bond],Table13[[#This Row],[Bond]],Table1[ROI_ADJ])</f>
        <v>4089059979.3224001</v>
      </c>
      <c r="F7" s="2">
        <f>AVERAGEIF(Table1[Bond],Table13[[#This Row],[Bond]],Table1[ROI_ADJ])</f>
        <v>817811995.86448002</v>
      </c>
      <c r="G7" s="3">
        <f>AVERAGEIF(Table1[Bond],Table13[[#This Row],[Bond]],Table1[Avg_User_IMDB])</f>
        <v>7.3</v>
      </c>
      <c r="H7" s="3">
        <f>AVERAGEIF(Table1[Bond],Table13[[#This Row],[Bond]],Table1[Avg_User_Rtn_Tom])</f>
        <v>7.4599999999999991</v>
      </c>
    </row>
    <row r="18" spans="1:15" s="2" customFormat="1" x14ac:dyDescent="0.25">
      <c r="A18"/>
      <c r="B18"/>
      <c r="G18" s="3"/>
      <c r="H18" s="3"/>
      <c r="I18"/>
      <c r="J18"/>
      <c r="K18"/>
      <c r="L18"/>
      <c r="M18"/>
      <c r="N18"/>
      <c r="O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D420-BFDD-4485-A4D0-F1F15E4F4FAB}">
  <dimension ref="A1:U37"/>
  <sheetViews>
    <sheetView topLeftCell="H1" workbookViewId="0">
      <selection activeCell="V1" sqref="V1"/>
    </sheetView>
  </sheetViews>
  <sheetFormatPr defaultRowHeight="15" x14ac:dyDescent="0.25"/>
  <cols>
    <col min="1" max="1" width="7.28515625" bestFit="1" customWidth="1"/>
    <col min="2" max="2" width="28.42578125" bestFit="1" customWidth="1"/>
    <col min="3" max="3" width="14.7109375" bestFit="1" customWidth="1"/>
    <col min="4" max="4" width="18.5703125" bestFit="1" customWidth="1"/>
    <col min="5" max="5" width="16.5703125" bestFit="1" customWidth="1"/>
    <col min="6" max="6" width="66.28515625" bestFit="1" customWidth="1"/>
    <col min="7" max="7" width="19.140625" bestFit="1" customWidth="1"/>
    <col min="8" max="8" width="91.140625" bestFit="1" customWidth="1"/>
    <col min="9" max="9" width="70.85546875" bestFit="1" customWidth="1"/>
    <col min="10" max="10" width="16.85546875" bestFit="1" customWidth="1"/>
    <col min="11" max="11" width="12.5703125" style="2" bestFit="1" customWidth="1"/>
    <col min="12" max="12" width="14.85546875" style="2" bestFit="1" customWidth="1"/>
    <col min="13" max="13" width="12.5703125" style="2" bestFit="1" customWidth="1"/>
    <col min="14" max="14" width="22.42578125" style="1" bestFit="1" customWidth="1"/>
    <col min="15" max="15" width="16.140625" style="2" bestFit="1" customWidth="1"/>
    <col min="16" max="16" width="17.140625" style="2" bestFit="1" customWidth="1"/>
    <col min="17" max="17" width="20.42578125" style="2" bestFit="1" customWidth="1"/>
    <col min="18" max="18" width="20.42578125" style="2" customWidth="1"/>
    <col min="19" max="19" width="14.140625" style="2" bestFit="1" customWidth="1"/>
    <col min="20" max="20" width="17.140625" style="3" bestFit="1" customWidth="1"/>
    <col min="21" max="21" width="20.42578125" style="3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1" t="s">
        <v>170</v>
      </c>
      <c r="O1" s="2" t="s">
        <v>167</v>
      </c>
      <c r="P1" s="2" t="s">
        <v>168</v>
      </c>
      <c r="Q1" s="2" t="s">
        <v>169</v>
      </c>
      <c r="R1" s="2" t="s">
        <v>171</v>
      </c>
      <c r="S1" s="2" t="s">
        <v>13</v>
      </c>
      <c r="T1" s="3" t="s">
        <v>14</v>
      </c>
      <c r="U1" s="3" t="s">
        <v>15</v>
      </c>
    </row>
    <row r="2" spans="1:21" x14ac:dyDescent="0.25">
      <c r="A2">
        <v>1962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2">
        <v>16067035</v>
      </c>
      <c r="L2" s="2">
        <v>59567035</v>
      </c>
      <c r="M2" s="2">
        <v>1000000</v>
      </c>
      <c r="N2" s="1">
        <v>10.027200000000001</v>
      </c>
      <c r="O2" s="2">
        <f>Table1[[#This Row],[US_Gross]]+(Table1[[#This Row],[US_Gross]]*Table1[[#This Row],[Cumulative_Inflation]])</f>
        <v>177174408.352</v>
      </c>
      <c r="P2" s="2">
        <f>Table1[[#This Row],[World_Gross]]+(Table1[[#This Row],[World_Gross]]*Table1[[#This Row],[Cumulative_Inflation]])</f>
        <v>656857608.352</v>
      </c>
      <c r="Q2" s="2">
        <f>Table1[[#This Row],[Budget]]+(Table1[[#This Row],[Budget]]*Table1[[#This Row],[Cumulative_Inflation]])</f>
        <v>11027200</v>
      </c>
      <c r="R2" s="2">
        <f>Table1[[#This Row],[World_Gross_ADJ]]-Table1[[#This Row],[Budget_ADJ]]</f>
        <v>645830408.352</v>
      </c>
      <c r="S2" s="2">
        <v>110</v>
      </c>
      <c r="T2" s="3">
        <v>7.3</v>
      </c>
      <c r="U2" s="3">
        <v>7.7</v>
      </c>
    </row>
    <row r="3" spans="1:21" x14ac:dyDescent="0.25">
      <c r="A3">
        <v>1963</v>
      </c>
      <c r="B3" t="s">
        <v>25</v>
      </c>
      <c r="C3" t="s">
        <v>17</v>
      </c>
      <c r="D3" t="s">
        <v>18</v>
      </c>
      <c r="E3" t="s">
        <v>26</v>
      </c>
      <c r="F3" t="s">
        <v>27</v>
      </c>
      <c r="G3" t="s">
        <v>21</v>
      </c>
      <c r="H3" t="s">
        <v>28</v>
      </c>
      <c r="I3" t="s">
        <v>29</v>
      </c>
      <c r="J3" t="s">
        <v>30</v>
      </c>
      <c r="K3" s="2">
        <v>24800000</v>
      </c>
      <c r="L3" s="2">
        <v>78900000</v>
      </c>
      <c r="M3" s="2">
        <v>2000000</v>
      </c>
      <c r="N3" s="1">
        <v>9.8829999999999991</v>
      </c>
      <c r="O3" s="2">
        <f>Table1[[#This Row],[US_Gross]]+(Table1[[#This Row],[US_Gross]]*Table1[[#This Row],[Cumulative_Inflation]])</f>
        <v>269898400</v>
      </c>
      <c r="P3" s="2">
        <f>Table1[[#This Row],[World_Gross]]+(Table1[[#This Row],[World_Gross]]*Table1[[#This Row],[Cumulative_Inflation]])</f>
        <v>858668699.99999988</v>
      </c>
      <c r="Q3" s="2">
        <f>Table1[[#This Row],[Budget]]+(Table1[[#This Row],[Budget]]*Table1[[#This Row],[Cumulative_Inflation]])</f>
        <v>21766000</v>
      </c>
      <c r="R3" s="2">
        <f>Table1[[#This Row],[World_Gross_ADJ]]-Table1[[#This Row],[Budget_ADJ]]</f>
        <v>836902699.99999988</v>
      </c>
      <c r="S3" s="2">
        <v>115</v>
      </c>
      <c r="T3" s="3">
        <v>7.5</v>
      </c>
      <c r="U3" s="3">
        <v>8</v>
      </c>
    </row>
    <row r="4" spans="1:21" x14ac:dyDescent="0.25">
      <c r="A4">
        <v>1964</v>
      </c>
      <c r="B4" t="s">
        <v>31</v>
      </c>
      <c r="C4" t="s">
        <v>17</v>
      </c>
      <c r="D4" t="s">
        <v>32</v>
      </c>
      <c r="E4" t="s">
        <v>26</v>
      </c>
      <c r="F4" t="s">
        <v>33</v>
      </c>
      <c r="G4" t="s">
        <v>21</v>
      </c>
      <c r="H4" t="s">
        <v>34</v>
      </c>
      <c r="I4" t="s">
        <v>35</v>
      </c>
      <c r="J4" t="s">
        <v>36</v>
      </c>
      <c r="K4" s="2">
        <v>51100000</v>
      </c>
      <c r="L4" s="2">
        <v>124900000</v>
      </c>
      <c r="M4" s="2">
        <v>3000000</v>
      </c>
      <c r="N4" s="1">
        <v>9.7425999999999995</v>
      </c>
      <c r="O4" s="2">
        <f>Table1[[#This Row],[US_Gross]]+(Table1[[#This Row],[US_Gross]]*Table1[[#This Row],[Cumulative_Inflation]])</f>
        <v>548946860</v>
      </c>
      <c r="P4" s="2">
        <f>Table1[[#This Row],[World_Gross]]+(Table1[[#This Row],[World_Gross]]*Table1[[#This Row],[Cumulative_Inflation]])</f>
        <v>1341750740</v>
      </c>
      <c r="Q4" s="2">
        <f>Table1[[#This Row],[Budget]]+(Table1[[#This Row],[Budget]]*Table1[[#This Row],[Cumulative_Inflation]])</f>
        <v>32227800</v>
      </c>
      <c r="R4" s="2">
        <f>Table1[[#This Row],[World_Gross_ADJ]]-Table1[[#This Row],[Budget_ADJ]]</f>
        <v>1309522940</v>
      </c>
      <c r="S4" s="2">
        <v>110</v>
      </c>
      <c r="T4" s="3">
        <v>7.8</v>
      </c>
      <c r="U4" s="3">
        <v>8.4</v>
      </c>
    </row>
    <row r="5" spans="1:21" x14ac:dyDescent="0.25">
      <c r="A5">
        <v>1965</v>
      </c>
      <c r="B5" t="s">
        <v>37</v>
      </c>
      <c r="C5" t="s">
        <v>17</v>
      </c>
      <c r="D5" t="s">
        <v>18</v>
      </c>
      <c r="E5" t="s">
        <v>26</v>
      </c>
      <c r="F5" t="s">
        <v>38</v>
      </c>
      <c r="G5" t="s">
        <v>21</v>
      </c>
      <c r="H5" t="s">
        <v>39</v>
      </c>
      <c r="I5" t="s">
        <v>40</v>
      </c>
      <c r="J5" t="s">
        <v>36</v>
      </c>
      <c r="K5" s="2">
        <v>63600000</v>
      </c>
      <c r="L5" s="2">
        <v>141200000</v>
      </c>
      <c r="M5" s="2">
        <v>9000000</v>
      </c>
      <c r="N5" s="1">
        <v>9.57</v>
      </c>
      <c r="O5" s="2">
        <f>Table1[[#This Row],[US_Gross]]+(Table1[[#This Row],[US_Gross]]*Table1[[#This Row],[Cumulative_Inflation]])</f>
        <v>672252000</v>
      </c>
      <c r="P5" s="2">
        <f>Table1[[#This Row],[World_Gross]]+(Table1[[#This Row],[World_Gross]]*Table1[[#This Row],[Cumulative_Inflation]])</f>
        <v>1492484000</v>
      </c>
      <c r="Q5" s="2">
        <f>Table1[[#This Row],[Budget]]+(Table1[[#This Row],[Budget]]*Table1[[#This Row],[Cumulative_Inflation]])</f>
        <v>95130000</v>
      </c>
      <c r="R5" s="2">
        <f>Table1[[#This Row],[World_Gross_ADJ]]-Table1[[#This Row],[Budget_ADJ]]</f>
        <v>1397354000</v>
      </c>
      <c r="S5" s="2">
        <v>130</v>
      </c>
      <c r="T5" s="3">
        <v>7</v>
      </c>
      <c r="U5" s="3">
        <v>6.8</v>
      </c>
    </row>
    <row r="6" spans="1:21" x14ac:dyDescent="0.25">
      <c r="A6">
        <v>1967</v>
      </c>
      <c r="B6" t="s">
        <v>41</v>
      </c>
      <c r="C6" t="s">
        <v>17</v>
      </c>
      <c r="D6" t="s">
        <v>42</v>
      </c>
      <c r="E6" t="s">
        <v>26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s="2">
        <v>43100000</v>
      </c>
      <c r="L6" s="2">
        <v>111600000</v>
      </c>
      <c r="M6" s="2">
        <v>9500000</v>
      </c>
      <c r="N6" s="1">
        <v>8.9700000000000006</v>
      </c>
      <c r="O6" s="2">
        <f>Table1[[#This Row],[US_Gross]]+(Table1[[#This Row],[US_Gross]]*Table1[[#This Row],[Cumulative_Inflation]])</f>
        <v>429707000</v>
      </c>
      <c r="P6" s="2">
        <f>Table1[[#This Row],[World_Gross]]+(Table1[[#This Row],[World_Gross]]*Table1[[#This Row],[Cumulative_Inflation]])</f>
        <v>1112652000</v>
      </c>
      <c r="Q6" s="2">
        <f>Table1[[#This Row],[Budget]]+(Table1[[#This Row],[Budget]]*Table1[[#This Row],[Cumulative_Inflation]])</f>
        <v>94715000</v>
      </c>
      <c r="R6" s="2">
        <f>Table1[[#This Row],[World_Gross_ADJ]]-Table1[[#This Row],[Budget_ADJ]]</f>
        <v>1017937000</v>
      </c>
      <c r="S6" s="2">
        <v>117</v>
      </c>
      <c r="T6" s="3">
        <v>6.9</v>
      </c>
      <c r="U6" s="3">
        <v>6.3</v>
      </c>
    </row>
    <row r="7" spans="1:21" x14ac:dyDescent="0.25">
      <c r="A7">
        <v>1969</v>
      </c>
      <c r="B7" t="s">
        <v>48</v>
      </c>
      <c r="C7" t="s">
        <v>49</v>
      </c>
      <c r="D7" t="s">
        <v>50</v>
      </c>
      <c r="E7" t="s">
        <v>26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s="2">
        <v>22800000</v>
      </c>
      <c r="L7" s="2">
        <v>82000000</v>
      </c>
      <c r="M7" s="2">
        <v>8000000</v>
      </c>
      <c r="N7" s="1">
        <v>8.0740999999999996</v>
      </c>
      <c r="O7" s="2">
        <f>Table1[[#This Row],[US_Gross]]+(Table1[[#This Row],[US_Gross]]*Table1[[#This Row],[Cumulative_Inflation]])</f>
        <v>206889480</v>
      </c>
      <c r="P7" s="2">
        <f>Table1[[#This Row],[World_Gross]]+(Table1[[#This Row],[World_Gross]]*Table1[[#This Row],[Cumulative_Inflation]])</f>
        <v>744076200</v>
      </c>
      <c r="Q7" s="2">
        <f>Table1[[#This Row],[Budget]]+(Table1[[#This Row],[Budget]]*Table1[[#This Row],[Cumulative_Inflation]])</f>
        <v>72592800</v>
      </c>
      <c r="R7" s="2">
        <f>Table1[[#This Row],[World_Gross_ADJ]]-Table1[[#This Row],[Budget_ADJ]]</f>
        <v>671483400</v>
      </c>
      <c r="S7" s="2">
        <v>142</v>
      </c>
      <c r="T7" s="3">
        <v>6.8</v>
      </c>
      <c r="U7" s="3">
        <v>6.7</v>
      </c>
    </row>
    <row r="8" spans="1:21" x14ac:dyDescent="0.25">
      <c r="A8">
        <v>1971</v>
      </c>
      <c r="B8" t="s">
        <v>56</v>
      </c>
      <c r="C8" t="s">
        <v>17</v>
      </c>
      <c r="D8" t="s">
        <v>32</v>
      </c>
      <c r="E8" t="s">
        <v>26</v>
      </c>
      <c r="F8" t="s">
        <v>57</v>
      </c>
      <c r="G8" t="s">
        <v>21</v>
      </c>
      <c r="H8" t="s">
        <v>58</v>
      </c>
      <c r="I8" t="s">
        <v>59</v>
      </c>
      <c r="J8" t="s">
        <v>60</v>
      </c>
      <c r="K8" s="2">
        <v>43800000</v>
      </c>
      <c r="L8" s="2">
        <v>116000000</v>
      </c>
      <c r="M8" s="2">
        <v>7200000</v>
      </c>
      <c r="N8" s="1">
        <v>7.2229999999999999</v>
      </c>
      <c r="O8" s="2">
        <f>Table1[[#This Row],[US_Gross]]+(Table1[[#This Row],[US_Gross]]*Table1[[#This Row],[Cumulative_Inflation]])</f>
        <v>360167400</v>
      </c>
      <c r="P8" s="2">
        <f>Table1[[#This Row],[World_Gross]]+(Table1[[#This Row],[World_Gross]]*Table1[[#This Row],[Cumulative_Inflation]])</f>
        <v>953868000</v>
      </c>
      <c r="Q8" s="2">
        <f>Table1[[#This Row],[Budget]]+(Table1[[#This Row],[Budget]]*Table1[[#This Row],[Cumulative_Inflation]])</f>
        <v>59205600</v>
      </c>
      <c r="R8" s="2">
        <f>Table1[[#This Row],[World_Gross_ADJ]]-Table1[[#This Row],[Budget_ADJ]]</f>
        <v>894662400</v>
      </c>
      <c r="S8" s="2">
        <v>120</v>
      </c>
      <c r="T8" s="3">
        <v>6.7</v>
      </c>
      <c r="U8" s="3">
        <v>6.3</v>
      </c>
    </row>
    <row r="9" spans="1:21" x14ac:dyDescent="0.25">
      <c r="A9">
        <v>1973</v>
      </c>
      <c r="B9" t="s">
        <v>61</v>
      </c>
      <c r="C9" t="s">
        <v>62</v>
      </c>
      <c r="D9" t="s">
        <v>32</v>
      </c>
      <c r="E9" t="s">
        <v>63</v>
      </c>
      <c r="F9" t="s">
        <v>64</v>
      </c>
      <c r="G9" t="s">
        <v>21</v>
      </c>
      <c r="H9" t="s">
        <v>65</v>
      </c>
      <c r="I9" t="s">
        <v>66</v>
      </c>
      <c r="J9" t="s">
        <v>67</v>
      </c>
      <c r="K9" s="2">
        <v>35400000</v>
      </c>
      <c r="L9" s="2">
        <v>161800000</v>
      </c>
      <c r="M9" s="2">
        <v>7000000</v>
      </c>
      <c r="N9" s="1">
        <v>6.5004999999999997</v>
      </c>
      <c r="O9" s="2">
        <f>Table1[[#This Row],[US_Gross]]+(Table1[[#This Row],[US_Gross]]*Table1[[#This Row],[Cumulative_Inflation]])</f>
        <v>265517700</v>
      </c>
      <c r="P9" s="2">
        <f>Table1[[#This Row],[World_Gross]]+(Table1[[#This Row],[World_Gross]]*Table1[[#This Row],[Cumulative_Inflation]])</f>
        <v>1213580900</v>
      </c>
      <c r="Q9" s="2">
        <f>Table1[[#This Row],[Budget]]+(Table1[[#This Row],[Budget]]*Table1[[#This Row],[Cumulative_Inflation]])</f>
        <v>52503500</v>
      </c>
      <c r="R9" s="2">
        <f>Table1[[#This Row],[World_Gross_ADJ]]-Table1[[#This Row],[Budget_ADJ]]</f>
        <v>1161077400</v>
      </c>
      <c r="S9" s="2">
        <v>121</v>
      </c>
      <c r="T9" s="3">
        <v>6.8</v>
      </c>
      <c r="U9" s="3">
        <v>5.9</v>
      </c>
    </row>
    <row r="10" spans="1:21" x14ac:dyDescent="0.25">
      <c r="A10">
        <v>1974</v>
      </c>
      <c r="B10" t="s">
        <v>68</v>
      </c>
      <c r="C10" t="s">
        <v>62</v>
      </c>
      <c r="D10" t="s">
        <v>32</v>
      </c>
      <c r="E10" t="s">
        <v>26</v>
      </c>
      <c r="F10" t="s">
        <v>57</v>
      </c>
      <c r="G10" t="s">
        <v>21</v>
      </c>
      <c r="H10" t="s">
        <v>69</v>
      </c>
      <c r="I10" t="s">
        <v>70</v>
      </c>
      <c r="J10" t="s">
        <v>67</v>
      </c>
      <c r="K10" s="2">
        <v>21000000</v>
      </c>
      <c r="L10" s="2">
        <v>97600000</v>
      </c>
      <c r="M10" s="2">
        <v>7000000</v>
      </c>
      <c r="N10" s="1">
        <v>5.7549999999999999</v>
      </c>
      <c r="O10" s="2">
        <f>Table1[[#This Row],[US_Gross]]+(Table1[[#This Row],[US_Gross]]*Table1[[#This Row],[Cumulative_Inflation]])</f>
        <v>141855000</v>
      </c>
      <c r="P10" s="2">
        <f>Table1[[#This Row],[World_Gross]]+(Table1[[#This Row],[World_Gross]]*Table1[[#This Row],[Cumulative_Inflation]])</f>
        <v>659288000</v>
      </c>
      <c r="Q10" s="2">
        <f>Table1[[#This Row],[Budget]]+(Table1[[#This Row],[Budget]]*Table1[[#This Row],[Cumulative_Inflation]])</f>
        <v>47285000</v>
      </c>
      <c r="R10" s="2">
        <f>Table1[[#This Row],[World_Gross_ADJ]]-Table1[[#This Row],[Budget_ADJ]]</f>
        <v>612003000</v>
      </c>
      <c r="S10" s="2">
        <v>125</v>
      </c>
      <c r="T10" s="3">
        <v>6.7</v>
      </c>
      <c r="U10" s="3">
        <v>5.0999999999999996</v>
      </c>
    </row>
    <row r="11" spans="1:21" x14ac:dyDescent="0.25">
      <c r="A11">
        <v>1977</v>
      </c>
      <c r="B11" t="s">
        <v>71</v>
      </c>
      <c r="C11" t="s">
        <v>62</v>
      </c>
      <c r="D11" t="s">
        <v>42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K11" s="2">
        <v>46800000</v>
      </c>
      <c r="L11" s="2">
        <v>185400000</v>
      </c>
      <c r="M11" s="2">
        <v>14000000</v>
      </c>
      <c r="N11" s="1">
        <v>4.4950000000000001</v>
      </c>
      <c r="O11" s="2">
        <f>Table1[[#This Row],[US_Gross]]+(Table1[[#This Row],[US_Gross]]*Table1[[#This Row],[Cumulative_Inflation]])</f>
        <v>257166000</v>
      </c>
      <c r="P11" s="2">
        <f>Table1[[#This Row],[World_Gross]]+(Table1[[#This Row],[World_Gross]]*Table1[[#This Row],[Cumulative_Inflation]])</f>
        <v>1018773000</v>
      </c>
      <c r="Q11" s="2">
        <f>Table1[[#This Row],[Budget]]+(Table1[[#This Row],[Budget]]*Table1[[#This Row],[Cumulative_Inflation]])</f>
        <v>76930000</v>
      </c>
      <c r="R11" s="2">
        <f>Table1[[#This Row],[World_Gross_ADJ]]-Table1[[#This Row],[Budget_ADJ]]</f>
        <v>941843000</v>
      </c>
      <c r="S11" s="2">
        <v>125</v>
      </c>
      <c r="T11" s="3">
        <v>7.1</v>
      </c>
      <c r="U11" s="3">
        <v>6.8</v>
      </c>
    </row>
    <row r="12" spans="1:21" x14ac:dyDescent="0.25">
      <c r="A12">
        <v>1979</v>
      </c>
      <c r="B12" t="s">
        <v>78</v>
      </c>
      <c r="C12" t="s">
        <v>62</v>
      </c>
      <c r="D12" t="s">
        <v>42</v>
      </c>
      <c r="E12" t="s">
        <v>26</v>
      </c>
      <c r="F12" t="s">
        <v>79</v>
      </c>
      <c r="G12" t="s">
        <v>80</v>
      </c>
      <c r="H12" t="s">
        <v>81</v>
      </c>
      <c r="I12" t="s">
        <v>82</v>
      </c>
      <c r="J12" t="s">
        <v>77</v>
      </c>
      <c r="K12" s="2">
        <v>70300000</v>
      </c>
      <c r="L12" s="2">
        <v>210300000</v>
      </c>
      <c r="M12" s="2">
        <v>31000000</v>
      </c>
      <c r="N12" s="1">
        <v>3.5870000000000002</v>
      </c>
      <c r="O12" s="2">
        <f>Table1[[#This Row],[US_Gross]]+(Table1[[#This Row],[US_Gross]]*Table1[[#This Row],[Cumulative_Inflation]])</f>
        <v>322466100</v>
      </c>
      <c r="P12" s="2">
        <f>Table1[[#This Row],[World_Gross]]+(Table1[[#This Row],[World_Gross]]*Table1[[#This Row],[Cumulative_Inflation]])</f>
        <v>964646100</v>
      </c>
      <c r="Q12" s="2">
        <f>Table1[[#This Row],[Budget]]+(Table1[[#This Row],[Budget]]*Table1[[#This Row],[Cumulative_Inflation]])</f>
        <v>142197000</v>
      </c>
      <c r="R12" s="2">
        <f>Table1[[#This Row],[World_Gross_ADJ]]-Table1[[#This Row],[Budget_ADJ]]</f>
        <v>822449100</v>
      </c>
      <c r="S12" s="2">
        <v>126</v>
      </c>
      <c r="T12" s="3">
        <v>6.2</v>
      </c>
      <c r="U12" s="3">
        <v>5.7</v>
      </c>
    </row>
    <row r="13" spans="1:21" x14ac:dyDescent="0.25">
      <c r="A13">
        <v>1981</v>
      </c>
      <c r="B13" t="s">
        <v>83</v>
      </c>
      <c r="C13" t="s">
        <v>62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s="2">
        <v>54800000</v>
      </c>
      <c r="L13" s="2">
        <v>195300000</v>
      </c>
      <c r="M13" s="2">
        <v>28000000</v>
      </c>
      <c r="N13" s="1">
        <v>2.66</v>
      </c>
      <c r="O13" s="2">
        <f>Table1[[#This Row],[US_Gross]]+(Table1[[#This Row],[US_Gross]]*Table1[[#This Row],[Cumulative_Inflation]])</f>
        <v>200568000</v>
      </c>
      <c r="P13" s="2">
        <f>Table1[[#This Row],[World_Gross]]+(Table1[[#This Row],[World_Gross]]*Table1[[#This Row],[Cumulative_Inflation]])</f>
        <v>714798000</v>
      </c>
      <c r="Q13" s="2">
        <f>Table1[[#This Row],[Budget]]+(Table1[[#This Row],[Budget]]*Table1[[#This Row],[Cumulative_Inflation]])</f>
        <v>102480000</v>
      </c>
      <c r="R13" s="2">
        <f>Table1[[#This Row],[World_Gross_ADJ]]-Table1[[#This Row],[Budget_ADJ]]</f>
        <v>612318000</v>
      </c>
      <c r="S13" s="2">
        <v>127</v>
      </c>
      <c r="T13" s="3">
        <v>6.8</v>
      </c>
      <c r="U13" s="3">
        <v>6.3</v>
      </c>
    </row>
    <row r="14" spans="1:21" x14ac:dyDescent="0.25">
      <c r="A14">
        <v>1983</v>
      </c>
      <c r="B14" t="s">
        <v>91</v>
      </c>
      <c r="C14" t="s">
        <v>62</v>
      </c>
      <c r="D14" t="s">
        <v>84</v>
      </c>
      <c r="E14" t="s">
        <v>26</v>
      </c>
      <c r="F14" t="s">
        <v>92</v>
      </c>
      <c r="G14" t="s">
        <v>87</v>
      </c>
      <c r="H14" t="s">
        <v>93</v>
      </c>
      <c r="I14" t="s">
        <v>94</v>
      </c>
      <c r="J14" t="s">
        <v>95</v>
      </c>
      <c r="K14" s="2">
        <v>67900000</v>
      </c>
      <c r="L14" s="2">
        <v>187500000</v>
      </c>
      <c r="M14" s="2">
        <v>27500000</v>
      </c>
      <c r="N14" s="1">
        <v>2.35</v>
      </c>
      <c r="O14" s="2">
        <f>Table1[[#This Row],[US_Gross]]+(Table1[[#This Row],[US_Gross]]*Table1[[#This Row],[Cumulative_Inflation]])</f>
        <v>227465000</v>
      </c>
      <c r="P14" s="2">
        <f>Table1[[#This Row],[World_Gross]]+(Table1[[#This Row],[World_Gross]]*Table1[[#This Row],[Cumulative_Inflation]])</f>
        <v>628125000</v>
      </c>
      <c r="Q14" s="2">
        <f>Table1[[#This Row],[Budget]]+(Table1[[#This Row],[Budget]]*Table1[[#This Row],[Cumulative_Inflation]])</f>
        <v>92125000</v>
      </c>
      <c r="R14" s="2">
        <f>Table1[[#This Row],[World_Gross_ADJ]]-Table1[[#This Row],[Budget_ADJ]]</f>
        <v>536000000</v>
      </c>
      <c r="S14" s="2">
        <v>131</v>
      </c>
      <c r="T14" s="3">
        <v>6.5</v>
      </c>
      <c r="U14" s="3">
        <v>5.3</v>
      </c>
    </row>
    <row r="15" spans="1:21" x14ac:dyDescent="0.25">
      <c r="A15">
        <v>1985</v>
      </c>
      <c r="B15" t="s">
        <v>96</v>
      </c>
      <c r="C15" t="s">
        <v>62</v>
      </c>
      <c r="D15" t="s">
        <v>84</v>
      </c>
      <c r="E15" t="s">
        <v>26</v>
      </c>
      <c r="F15" t="s">
        <v>86</v>
      </c>
      <c r="G15" t="s">
        <v>87</v>
      </c>
      <c r="H15" t="s">
        <v>97</v>
      </c>
      <c r="I15" t="s">
        <v>98</v>
      </c>
      <c r="J15" t="s">
        <v>99</v>
      </c>
      <c r="K15" s="2">
        <v>50327960</v>
      </c>
      <c r="L15" s="2">
        <v>152627960</v>
      </c>
      <c r="M15" s="2">
        <v>30000000</v>
      </c>
      <c r="N15" s="1">
        <v>2.0950000000000002</v>
      </c>
      <c r="O15" s="2">
        <f>Table1[[#This Row],[US_Gross]]+(Table1[[#This Row],[US_Gross]]*Table1[[#This Row],[Cumulative_Inflation]])</f>
        <v>155765036.19999999</v>
      </c>
      <c r="P15" s="2">
        <f>Table1[[#This Row],[World_Gross]]+(Table1[[#This Row],[World_Gross]]*Table1[[#This Row],[Cumulative_Inflation]])</f>
        <v>472383536.20000005</v>
      </c>
      <c r="Q15" s="2">
        <f>Table1[[#This Row],[Budget]]+(Table1[[#This Row],[Budget]]*Table1[[#This Row],[Cumulative_Inflation]])</f>
        <v>92850000</v>
      </c>
      <c r="R15" s="2">
        <f>Table1[[#This Row],[World_Gross_ADJ]]-Table1[[#This Row],[Budget_ADJ]]</f>
        <v>379533536.20000005</v>
      </c>
      <c r="S15" s="2">
        <v>131</v>
      </c>
      <c r="T15" s="3">
        <v>6.2</v>
      </c>
      <c r="U15" s="3">
        <v>4.7</v>
      </c>
    </row>
    <row r="16" spans="1:21" x14ac:dyDescent="0.25">
      <c r="A16">
        <v>1987</v>
      </c>
      <c r="B16" t="s">
        <v>100</v>
      </c>
      <c r="C16" t="s">
        <v>101</v>
      </c>
      <c r="D16" t="s">
        <v>84</v>
      </c>
      <c r="E16" t="s">
        <v>26</v>
      </c>
      <c r="F16" t="s">
        <v>86</v>
      </c>
      <c r="G16" t="s">
        <v>102</v>
      </c>
      <c r="H16" t="s">
        <v>103</v>
      </c>
      <c r="I16" t="s">
        <v>104</v>
      </c>
      <c r="J16" t="s">
        <v>99</v>
      </c>
      <c r="K16" s="2">
        <v>51185000</v>
      </c>
      <c r="L16" s="2">
        <v>191200000</v>
      </c>
      <c r="M16" s="2">
        <v>40000000</v>
      </c>
      <c r="N16" s="1">
        <v>1.9315</v>
      </c>
      <c r="O16" s="2">
        <f>Table1[[#This Row],[US_Gross]]+(Table1[[#This Row],[US_Gross]]*Table1[[#This Row],[Cumulative_Inflation]])</f>
        <v>150048827.5</v>
      </c>
      <c r="P16" s="2">
        <f>Table1[[#This Row],[World_Gross]]+(Table1[[#This Row],[World_Gross]]*Table1[[#This Row],[Cumulative_Inflation]])</f>
        <v>560502800</v>
      </c>
      <c r="Q16" s="2">
        <f>Table1[[#This Row],[Budget]]+(Table1[[#This Row],[Budget]]*Table1[[#This Row],[Cumulative_Inflation]])</f>
        <v>117260000</v>
      </c>
      <c r="R16" s="2">
        <f>Table1[[#This Row],[World_Gross_ADJ]]-Table1[[#This Row],[Budget_ADJ]]</f>
        <v>443242800</v>
      </c>
      <c r="S16" s="2">
        <v>130</v>
      </c>
      <c r="T16" s="3">
        <v>6.7</v>
      </c>
      <c r="U16" s="3">
        <v>6.3</v>
      </c>
    </row>
    <row r="17" spans="1:21" x14ac:dyDescent="0.25">
      <c r="A17">
        <v>1989</v>
      </c>
      <c r="B17" t="s">
        <v>105</v>
      </c>
      <c r="C17" t="s">
        <v>101</v>
      </c>
      <c r="D17" t="s">
        <v>84</v>
      </c>
      <c r="E17" t="s">
        <v>106</v>
      </c>
      <c r="F17" t="s">
        <v>86</v>
      </c>
      <c r="G17" t="s">
        <v>102</v>
      </c>
      <c r="H17" t="s">
        <v>107</v>
      </c>
      <c r="I17" t="s">
        <v>108</v>
      </c>
      <c r="J17" t="s">
        <v>36</v>
      </c>
      <c r="K17" s="2">
        <v>34667015</v>
      </c>
      <c r="L17" s="2">
        <v>156167015</v>
      </c>
      <c r="M17" s="2">
        <v>42000000</v>
      </c>
      <c r="N17" s="1">
        <v>1.6856</v>
      </c>
      <c r="O17" s="2">
        <f>Table1[[#This Row],[US_Gross]]+(Table1[[#This Row],[US_Gross]]*Table1[[#This Row],[Cumulative_Inflation]])</f>
        <v>93101735.483999997</v>
      </c>
      <c r="P17" s="2">
        <f>Table1[[#This Row],[World_Gross]]+(Table1[[#This Row],[World_Gross]]*Table1[[#This Row],[Cumulative_Inflation]])</f>
        <v>419402135.48399997</v>
      </c>
      <c r="Q17" s="2">
        <f>Table1[[#This Row],[Budget]]+(Table1[[#This Row],[Budget]]*Table1[[#This Row],[Cumulative_Inflation]])</f>
        <v>112795200</v>
      </c>
      <c r="R17" s="2">
        <f>Table1[[#This Row],[World_Gross_ADJ]]-Table1[[#This Row],[Budget_ADJ]]</f>
        <v>306606935.48399997</v>
      </c>
      <c r="S17" s="2">
        <v>133</v>
      </c>
      <c r="T17" s="3">
        <v>6.5</v>
      </c>
      <c r="U17" s="3">
        <v>6</v>
      </c>
    </row>
    <row r="18" spans="1:21" x14ac:dyDescent="0.25">
      <c r="A18">
        <v>1995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166</v>
      </c>
      <c r="H18" t="s">
        <v>114</v>
      </c>
      <c r="I18" t="s">
        <v>115</v>
      </c>
      <c r="J18" t="s">
        <v>116</v>
      </c>
      <c r="K18" s="2">
        <v>106429941</v>
      </c>
      <c r="L18" s="2">
        <v>356429941</v>
      </c>
      <c r="M18" s="2">
        <v>60000000</v>
      </c>
      <c r="N18" s="1">
        <v>1.1850000000000001</v>
      </c>
      <c r="O18" s="2">
        <f>Table1[[#This Row],[US_Gross]]+(Table1[[#This Row],[US_Gross]]*Table1[[#This Row],[Cumulative_Inflation]])</f>
        <v>232549421.08500001</v>
      </c>
      <c r="P18" s="2">
        <f>Table1[[#This Row],[World_Gross]]+(Table1[[#This Row],[World_Gross]]*Table1[[#This Row],[Cumulative_Inflation]])</f>
        <v>778799421.08500004</v>
      </c>
      <c r="Q18" s="2">
        <f>Table1[[#This Row],[Budget]]+(Table1[[#This Row],[Budget]]*Table1[[#This Row],[Cumulative_Inflation]])</f>
        <v>131100000</v>
      </c>
      <c r="R18" s="2">
        <f>Table1[[#This Row],[World_Gross_ADJ]]-Table1[[#This Row],[Budget_ADJ]]</f>
        <v>647699421.08500004</v>
      </c>
      <c r="S18" s="2">
        <v>130</v>
      </c>
      <c r="T18" s="3">
        <v>7.2</v>
      </c>
      <c r="U18" s="3">
        <v>6.9</v>
      </c>
    </row>
    <row r="19" spans="1:21" x14ac:dyDescent="0.25">
      <c r="A19">
        <v>1997</v>
      </c>
      <c r="B19" t="s">
        <v>117</v>
      </c>
      <c r="C19" t="s">
        <v>110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36</v>
      </c>
      <c r="K19" s="2">
        <v>125304276</v>
      </c>
      <c r="L19" s="2">
        <v>339504276</v>
      </c>
      <c r="M19" s="2">
        <v>110000000</v>
      </c>
      <c r="N19" s="1">
        <v>1.0749</v>
      </c>
      <c r="O19" s="2">
        <f>Table1[[#This Row],[US_Gross]]+(Table1[[#This Row],[US_Gross]]*Table1[[#This Row],[Cumulative_Inflation]])</f>
        <v>259993842.27239999</v>
      </c>
      <c r="P19" s="2">
        <f>Table1[[#This Row],[World_Gross]]+(Table1[[#This Row],[World_Gross]]*Table1[[#This Row],[Cumulative_Inflation]])</f>
        <v>704437422.2723999</v>
      </c>
      <c r="Q19" s="2">
        <f>Table1[[#This Row],[Budget]]+(Table1[[#This Row],[Budget]]*Table1[[#This Row],[Cumulative_Inflation]])</f>
        <v>228239000</v>
      </c>
      <c r="R19" s="2">
        <f>Table1[[#This Row],[World_Gross_ADJ]]-Table1[[#This Row],[Budget_ADJ]]</f>
        <v>476198422.2723999</v>
      </c>
      <c r="S19" s="2">
        <v>119</v>
      </c>
      <c r="T19" s="3">
        <v>6.4</v>
      </c>
      <c r="U19" s="3">
        <v>6</v>
      </c>
    </row>
    <row r="20" spans="1:21" x14ac:dyDescent="0.25">
      <c r="A20">
        <v>1999</v>
      </c>
      <c r="B20" t="s">
        <v>124</v>
      </c>
      <c r="C20" t="s">
        <v>110</v>
      </c>
      <c r="D20" t="s">
        <v>125</v>
      </c>
      <c r="E20" t="s">
        <v>119</v>
      </c>
      <c r="F20" t="s">
        <v>126</v>
      </c>
      <c r="G20" t="s">
        <v>127</v>
      </c>
      <c r="H20" t="s">
        <v>128</v>
      </c>
      <c r="I20" t="s">
        <v>129</v>
      </c>
      <c r="J20" t="s">
        <v>116</v>
      </c>
      <c r="K20" s="2">
        <v>126930660</v>
      </c>
      <c r="L20" s="2">
        <v>361730660</v>
      </c>
      <c r="M20" s="2">
        <v>135000000</v>
      </c>
      <c r="N20" s="1">
        <v>0.99890000000000001</v>
      </c>
      <c r="O20" s="2">
        <f>Table1[[#This Row],[US_Gross]]+(Table1[[#This Row],[US_Gross]]*Table1[[#This Row],[Cumulative_Inflation]])</f>
        <v>253721696.27399999</v>
      </c>
      <c r="P20" s="2">
        <f>Table1[[#This Row],[World_Gross]]+(Table1[[#This Row],[World_Gross]]*Table1[[#This Row],[Cumulative_Inflation]])</f>
        <v>723063416.27399993</v>
      </c>
      <c r="Q20" s="2">
        <f>Table1[[#This Row],[Budget]]+(Table1[[#This Row],[Budget]]*Table1[[#This Row],[Cumulative_Inflation]])</f>
        <v>269851500</v>
      </c>
      <c r="R20" s="2">
        <f>Table1[[#This Row],[World_Gross_ADJ]]-Table1[[#This Row],[Budget_ADJ]]</f>
        <v>453211916.27399993</v>
      </c>
      <c r="S20" s="2">
        <v>128</v>
      </c>
      <c r="T20" s="3">
        <v>6.3</v>
      </c>
      <c r="U20" s="3">
        <v>5.7</v>
      </c>
    </row>
    <row r="21" spans="1:21" x14ac:dyDescent="0.25">
      <c r="A21">
        <v>2002</v>
      </c>
      <c r="B21" t="s">
        <v>130</v>
      </c>
      <c r="C21" t="s">
        <v>110</v>
      </c>
      <c r="D21" t="s">
        <v>131</v>
      </c>
      <c r="E21" t="s">
        <v>119</v>
      </c>
      <c r="F21" t="s">
        <v>132</v>
      </c>
      <c r="G21" t="s">
        <v>133</v>
      </c>
      <c r="H21" t="s">
        <v>134</v>
      </c>
      <c r="I21" t="s">
        <v>135</v>
      </c>
      <c r="J21" t="s">
        <v>36</v>
      </c>
      <c r="K21" s="2">
        <v>160942139</v>
      </c>
      <c r="L21" s="2">
        <v>431942139</v>
      </c>
      <c r="M21" s="2">
        <v>142000000</v>
      </c>
      <c r="N21" s="1">
        <v>0.85109999999999997</v>
      </c>
      <c r="O21" s="2">
        <f>Table1[[#This Row],[US_Gross]]+(Table1[[#This Row],[US_Gross]]*Table1[[#This Row],[Cumulative_Inflation]])</f>
        <v>297919993.5029</v>
      </c>
      <c r="P21" s="2">
        <f>Table1[[#This Row],[World_Gross]]+(Table1[[#This Row],[World_Gross]]*Table1[[#This Row],[Cumulative_Inflation]])</f>
        <v>799568093.5029</v>
      </c>
      <c r="Q21" s="2">
        <f>Table1[[#This Row],[Budget]]+(Table1[[#This Row],[Budget]]*Table1[[#This Row],[Cumulative_Inflation]])</f>
        <v>262856200</v>
      </c>
      <c r="R21" s="2">
        <f>Table1[[#This Row],[World_Gross_ADJ]]-Table1[[#This Row],[Budget_ADJ]]</f>
        <v>536711893.5029</v>
      </c>
      <c r="S21" s="2">
        <v>133</v>
      </c>
      <c r="T21" s="3">
        <v>6</v>
      </c>
      <c r="U21" s="3">
        <v>6.1</v>
      </c>
    </row>
    <row r="22" spans="1:21" x14ac:dyDescent="0.25">
      <c r="A22">
        <v>2006</v>
      </c>
      <c r="B22" t="s">
        <v>136</v>
      </c>
      <c r="C22" t="s">
        <v>137</v>
      </c>
      <c r="D22" t="s">
        <v>111</v>
      </c>
      <c r="E22" t="s">
        <v>119</v>
      </c>
      <c r="F22" t="s">
        <v>138</v>
      </c>
      <c r="G22" t="s">
        <v>166</v>
      </c>
      <c r="H22" t="s">
        <v>139</v>
      </c>
      <c r="I22" t="s">
        <v>140</v>
      </c>
      <c r="J22" t="s">
        <v>36</v>
      </c>
      <c r="K22" s="2">
        <v>167365000</v>
      </c>
      <c r="L22" s="2">
        <v>596365000</v>
      </c>
      <c r="M22" s="2">
        <v>150000000</v>
      </c>
      <c r="N22" s="1">
        <v>0.65190000000000003</v>
      </c>
      <c r="O22" s="2">
        <f>Table1[[#This Row],[US_Gross]]+(Table1[[#This Row],[US_Gross]]*Table1[[#This Row],[Cumulative_Inflation]])</f>
        <v>276470243.5</v>
      </c>
      <c r="P22" s="2">
        <f>Table1[[#This Row],[World_Gross]]+(Table1[[#This Row],[World_Gross]]*Table1[[#This Row],[Cumulative_Inflation]])</f>
        <v>985135343.5</v>
      </c>
      <c r="Q22" s="2">
        <f>Table1[[#This Row],[Budget]]+(Table1[[#This Row],[Budget]]*Table1[[#This Row],[Cumulative_Inflation]])</f>
        <v>247785000</v>
      </c>
      <c r="R22" s="2">
        <f>Table1[[#This Row],[World_Gross_ADJ]]-Table1[[#This Row],[Budget_ADJ]]</f>
        <v>737350343.5</v>
      </c>
      <c r="S22" s="2">
        <v>144</v>
      </c>
      <c r="T22" s="3">
        <v>7.9</v>
      </c>
      <c r="U22" s="3">
        <v>7.8</v>
      </c>
    </row>
    <row r="23" spans="1:21" x14ac:dyDescent="0.25">
      <c r="A23">
        <v>2008</v>
      </c>
      <c r="B23" t="s">
        <v>141</v>
      </c>
      <c r="C23" t="s">
        <v>137</v>
      </c>
      <c r="D23" t="s">
        <v>142</v>
      </c>
      <c r="E23" t="s">
        <v>119</v>
      </c>
      <c r="F23" t="s">
        <v>143</v>
      </c>
      <c r="G23" t="s">
        <v>144</v>
      </c>
      <c r="H23" t="s">
        <v>145</v>
      </c>
      <c r="I23" t="s">
        <v>146</v>
      </c>
      <c r="J23" t="s">
        <v>36</v>
      </c>
      <c r="K23" s="2">
        <v>169368427</v>
      </c>
      <c r="L23" s="2">
        <v>591692078</v>
      </c>
      <c r="M23" s="2">
        <v>230000000</v>
      </c>
      <c r="N23" s="1">
        <v>0.54679999999999995</v>
      </c>
      <c r="O23" s="2">
        <f>Table1[[#This Row],[US_Gross]]+(Table1[[#This Row],[US_Gross]]*Table1[[#This Row],[Cumulative_Inflation]])</f>
        <v>261979082.8836</v>
      </c>
      <c r="P23" s="2">
        <f>Table1[[#This Row],[World_Gross]]+(Table1[[#This Row],[World_Gross]]*Table1[[#This Row],[Cumulative_Inflation]])</f>
        <v>915229306.25039995</v>
      </c>
      <c r="Q23" s="2">
        <f>Table1[[#This Row],[Budget]]+(Table1[[#This Row],[Budget]]*Table1[[#This Row],[Cumulative_Inflation]])</f>
        <v>355764000</v>
      </c>
      <c r="R23" s="2">
        <f>Table1[[#This Row],[World_Gross_ADJ]]-Table1[[#This Row],[Budget_ADJ]]</f>
        <v>559465306.25039995</v>
      </c>
      <c r="S23" s="2">
        <v>106</v>
      </c>
      <c r="T23" s="3">
        <v>6.7</v>
      </c>
      <c r="U23" s="3">
        <v>6.1</v>
      </c>
    </row>
    <row r="24" spans="1:21" x14ac:dyDescent="0.25">
      <c r="A24">
        <v>2012</v>
      </c>
      <c r="B24" t="s">
        <v>147</v>
      </c>
      <c r="C24" t="s">
        <v>137</v>
      </c>
      <c r="D24" t="s">
        <v>148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36</v>
      </c>
      <c r="K24" s="2">
        <v>304360277</v>
      </c>
      <c r="L24" s="2">
        <v>1108561108</v>
      </c>
      <c r="M24" s="2">
        <v>200000000</v>
      </c>
      <c r="N24" s="1">
        <v>0.45050000000000001</v>
      </c>
      <c r="O24" s="2">
        <f>Table1[[#This Row],[US_Gross]]+(Table1[[#This Row],[US_Gross]]*Table1[[#This Row],[Cumulative_Inflation]])</f>
        <v>441474581.78850001</v>
      </c>
      <c r="P24" s="2">
        <f>Table1[[#This Row],[World_Gross]]+(Table1[[#This Row],[World_Gross]]*Table1[[#This Row],[Cumulative_Inflation]])</f>
        <v>1607967887.154</v>
      </c>
      <c r="Q24" s="2">
        <f>Table1[[#This Row],[Budget]]+(Table1[[#This Row],[Budget]]*Table1[[#This Row],[Cumulative_Inflation]])</f>
        <v>290100000</v>
      </c>
      <c r="R24" s="2">
        <f>Table1[[#This Row],[World_Gross_ADJ]]-Table1[[#This Row],[Budget_ADJ]]</f>
        <v>1317867887.154</v>
      </c>
      <c r="S24" s="2">
        <v>143</v>
      </c>
      <c r="T24" s="3">
        <v>7.8</v>
      </c>
      <c r="U24" s="3">
        <v>8.1999999999999993</v>
      </c>
    </row>
    <row r="25" spans="1:21" x14ac:dyDescent="0.25">
      <c r="A25">
        <v>2015</v>
      </c>
      <c r="B25" t="s">
        <v>154</v>
      </c>
      <c r="C25" t="s">
        <v>137</v>
      </c>
      <c r="D25" t="s">
        <v>148</v>
      </c>
      <c r="E25" t="s">
        <v>149</v>
      </c>
      <c r="F25" t="s">
        <v>155</v>
      </c>
      <c r="G25" t="s">
        <v>156</v>
      </c>
      <c r="H25" t="s">
        <v>157</v>
      </c>
      <c r="I25" t="s">
        <v>158</v>
      </c>
      <c r="J25" t="s">
        <v>36</v>
      </c>
      <c r="K25" s="2">
        <v>200074175</v>
      </c>
      <c r="L25" s="2">
        <v>879620923</v>
      </c>
      <c r="M25" s="2">
        <v>245000000</v>
      </c>
      <c r="N25" s="1">
        <v>0.40500000000000003</v>
      </c>
      <c r="O25" s="2">
        <f>Table1[[#This Row],[US_Gross]]+(Table1[[#This Row],[US_Gross]]*Table1[[#This Row],[Cumulative_Inflation]])</f>
        <v>281104215.875</v>
      </c>
      <c r="P25" s="2">
        <f>Table1[[#This Row],[World_Gross]]+(Table1[[#This Row],[World_Gross]]*Table1[[#This Row],[Cumulative_Inflation]])</f>
        <v>1235867396.8150001</v>
      </c>
      <c r="Q25" s="2">
        <f>Table1[[#This Row],[Budget]]+(Table1[[#This Row],[Budget]]*Table1[[#This Row],[Cumulative_Inflation]])</f>
        <v>344225000</v>
      </c>
      <c r="R25" s="2">
        <f>Table1[[#This Row],[World_Gross_ADJ]]-Table1[[#This Row],[Budget_ADJ]]</f>
        <v>891642396.81500006</v>
      </c>
      <c r="S25" s="2">
        <v>148</v>
      </c>
      <c r="T25" s="3">
        <v>6.8</v>
      </c>
      <c r="U25" s="3">
        <v>6.4</v>
      </c>
    </row>
    <row r="26" spans="1:21" x14ac:dyDescent="0.25">
      <c r="A26">
        <v>2021</v>
      </c>
      <c r="B26" t="s">
        <v>159</v>
      </c>
      <c r="C26" t="s">
        <v>137</v>
      </c>
      <c r="D26" t="s">
        <v>160</v>
      </c>
      <c r="E26" t="s">
        <v>161</v>
      </c>
      <c r="F26" t="s">
        <v>162</v>
      </c>
      <c r="G26" t="s">
        <v>163</v>
      </c>
      <c r="H26" t="s">
        <v>164</v>
      </c>
      <c r="I26" t="s">
        <v>165</v>
      </c>
      <c r="J26" t="s">
        <v>36</v>
      </c>
      <c r="K26" s="2">
        <v>160891007</v>
      </c>
      <c r="L26" s="2">
        <v>774153007</v>
      </c>
      <c r="M26" s="2">
        <v>300000000</v>
      </c>
      <c r="N26" s="1">
        <v>0.22900000000000001</v>
      </c>
      <c r="O26" s="2">
        <f>Table1[[#This Row],[US_Gross]]+(Table1[[#This Row],[US_Gross]]*Table1[[#This Row],[Cumulative_Inflation]])</f>
        <v>197735047.60299999</v>
      </c>
      <c r="P26" s="2">
        <f>Table1[[#This Row],[World_Gross]]+(Table1[[#This Row],[World_Gross]]*Table1[[#This Row],[Cumulative_Inflation]])</f>
        <v>951434045.60300004</v>
      </c>
      <c r="Q26" s="2">
        <f>Table1[[#This Row],[Budget]]+(Table1[[#This Row],[Budget]]*Table1[[#This Row],[Cumulative_Inflation]])</f>
        <v>368700000</v>
      </c>
      <c r="R26" s="2">
        <f>Table1[[#This Row],[World_Gross_ADJ]]-Table1[[#This Row],[Budget_ADJ]]</f>
        <v>582734045.60300004</v>
      </c>
      <c r="S26" s="2">
        <v>163</v>
      </c>
      <c r="T26" s="3">
        <v>7.3</v>
      </c>
      <c r="U26" s="3">
        <v>8.8000000000000007</v>
      </c>
    </row>
    <row r="37" spans="15:15" x14ac:dyDescent="0.25">
      <c r="O37" s="4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Bond Summary</vt:lpstr>
      <vt:lpstr>jamesbond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Barnhart</dc:creator>
  <cp:lastModifiedBy>Tony Barnhart</cp:lastModifiedBy>
  <dcterms:created xsi:type="dcterms:W3CDTF">2026-06-01T18:51:55Z</dcterms:created>
  <dcterms:modified xsi:type="dcterms:W3CDTF">2026-06-01T20:48:07Z</dcterms:modified>
</cp:coreProperties>
</file>